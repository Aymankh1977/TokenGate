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Unit Economics" sheetId="2" state="visible" r:id="rId4"/>
    <sheet name="Monthly Mode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<sst xmlns="http://schemas.openxmlformats.org/spreadsheetml/2006/main" count="74" uniqueCount="67">
  <si>
    <t xml:space="preserve">TokenOasis — Pricing &amp; Margin Model</t>
  </si>
  <si>
    <t xml:space="preserve">Blue = inputs you change. Black = formulas. Green = links.</t>
  </si>
  <si>
    <t xml:space="preserve">PRICING &amp; MARGIN</t>
  </si>
  <si>
    <t xml:space="preserve">Markup multiplier (retail ÷ cost)</t>
  </si>
  <si>
    <t xml:space="preserve">Profit lever. 1.30 = +30%. MARKUP_BPS=13000 in code.</t>
  </si>
  <si>
    <t xml:space="preserve">Stripe % fee</t>
  </si>
  <si>
    <t xml:space="preserve">Card processing</t>
  </si>
  <si>
    <t xml:space="preserve">Stripe per-transaction fee</t>
  </si>
  <si>
    <t xml:space="preserve">Per purchase</t>
  </si>
  <si>
    <t xml:space="preserve">REPRESENTATIVE CALL</t>
  </si>
  <si>
    <t xml:space="preserve">Avg input tokens / call</t>
  </si>
  <si>
    <t xml:space="preserve">Avg output tokens / call</t>
  </si>
  <si>
    <t xml:space="preserve">Model (for blended unit economics)</t>
  </si>
  <si>
    <t xml:space="preserve">gpt-4o-mini</t>
  </si>
  <si>
    <t xml:space="preserve">Pick your highest-volume model</t>
  </si>
  <si>
    <t xml:space="preserve">Input price ($ / 1M tokens)</t>
  </si>
  <si>
    <t xml:space="preserve">Source: OpenAI API pricing 2026 (verify live)</t>
  </si>
  <si>
    <t xml:space="preserve">Output price ($ / 1M tokens)</t>
  </si>
  <si>
    <t xml:space="preserve">DEMAND</t>
  </si>
  <si>
    <t xml:space="preserve">Active paying users</t>
  </si>
  <si>
    <t xml:space="preserve">Avg cash spend / user / month</t>
  </si>
  <si>
    <t xml:space="preserve">Blended bonus credit %</t>
  </si>
  <si>
    <t xml:space="preserve">Weighted avg across packages</t>
  </si>
  <si>
    <t xml:space="preserve">Purchases / user / month</t>
  </si>
  <si>
    <t xml:space="preserve">FIXED MONTHLY COSTS</t>
  </si>
  <si>
    <t xml:space="preserve">Hosting / infrastructure</t>
  </si>
  <si>
    <t xml:space="preserve">Salaries / contractors</t>
  </si>
  <si>
    <t xml:space="preserve">Tools / other</t>
  </si>
  <si>
    <t xml:space="preserve">Total fixed monthly cost</t>
  </si>
  <si>
    <t xml:space="preserve">Unit Economics</t>
  </si>
  <si>
    <t xml:space="preserve">PER CALL</t>
  </si>
  <si>
    <t xml:space="preserve">Provider cost / call</t>
  </si>
  <si>
    <t xml:space="preserve">Retail charge / call</t>
  </si>
  <si>
    <t xml:space="preserve">Gross profit / call</t>
  </si>
  <si>
    <t xml:space="preserve">Gross margin %</t>
  </si>
  <si>
    <t xml:space="preserve">CREDIT PACKAGES</t>
  </si>
  <si>
    <t xml:space="preserve">Package</t>
  </si>
  <si>
    <t xml:space="preserve">Price paid</t>
  </si>
  <si>
    <t xml:space="preserve">Credit granted</t>
  </si>
  <si>
    <t xml:space="preserve">Bonus %</t>
  </si>
  <si>
    <t xml:space="preserve">Provider COGS
(full use)</t>
  </si>
  <si>
    <t xml:space="preserve">Stripe fee</t>
  </si>
  <si>
    <t xml:space="preserve">Gross profit</t>
  </si>
  <si>
    <t xml:space="preserve">Net margin %</t>
  </si>
  <si>
    <t xml:space="preserve">Starter</t>
  </si>
  <si>
    <t xml:space="preserve">Growth</t>
  </si>
  <si>
    <t xml:space="preserve">Professional</t>
  </si>
  <si>
    <t xml:space="preserve">Enterprise</t>
  </si>
  <si>
    <t xml:space="preserve">Note: COGS at full use = granted credit ÷ markup. Keep bonus % below the markup or a tier goes negative.</t>
  </si>
  <si>
    <t xml:space="preserve">Monthly P&amp;L &amp; Break-even</t>
  </si>
  <si>
    <t xml:space="preserve">MONTHLY P&amp;L (base case from Assumptions)</t>
  </si>
  <si>
    <t xml:space="preserve">Cash revenue</t>
  </si>
  <si>
    <t xml:space="preserve">Credit granted (incl. bonus)</t>
  </si>
  <si>
    <t xml:space="preserve">Provider COGS (granted ÷ markup)</t>
  </si>
  <si>
    <t xml:space="preserve">Stripe fees</t>
  </si>
  <si>
    <t xml:space="preserve">Fixed monthly cost</t>
  </si>
  <si>
    <t xml:space="preserve">Net profit / (loss)</t>
  </si>
  <si>
    <t xml:space="preserve">Negatives show in (parentheses)</t>
  </si>
  <si>
    <t xml:space="preserve">BREAK-EVEN</t>
  </si>
  <si>
    <t xml:space="preserve">Gross profit per user / month</t>
  </si>
  <si>
    <t xml:space="preserve">Users needed to cover fixed cost</t>
  </si>
  <si>
    <t xml:space="preserve">SCENARIOS</t>
  </si>
  <si>
    <t xml:space="preserve">Driver</t>
  </si>
  <si>
    <t xml:space="preserve">Conservative</t>
  </si>
  <si>
    <t xml:space="preserve">Base</t>
  </si>
  <si>
    <t xml:space="preserve">Aggressive</t>
  </si>
  <si>
    <t xml:space="preserve">Avg cash / user / month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</si>
</sst>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\x"/>
    <numFmt numFmtId="166" formatCode="0.0%"/>
    <numFmt numFmtId="167" formatCode="\$#,##0.00"/>
    <numFmt numFmtId="168" formatCode="#,##0"/>
    <numFmt numFmtId="169" formatCode="\$#,##0.000000"/>
    <numFmt numFmtId="170" formatCode="\$#,##0;&quot;($&quot;#,##0\)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5" t="n">
        <v>1.3</v>
      </c>
      <c r="C5" s="6" t="s">
        <v>4</v>
      </c>
    </row>
    <row r="6" customFormat="false" ht="15" hidden="false" customHeight="false" outlineLevel="0" collapsed="false">
      <c r="A6" s="4" t="s">
        <v>5</v>
      </c>
      <c r="B6" s="7" t="n">
        <v>0.029</v>
      </c>
      <c r="C6" s="6" t="s">
        <v>6</v>
      </c>
    </row>
    <row r="7" customFormat="false" ht="15" hidden="false" customHeight="false" outlineLevel="0" collapsed="false">
      <c r="A7" s="4" t="s">
        <v>7</v>
      </c>
      <c r="B7" s="8" t="n">
        <v>0.3</v>
      </c>
      <c r="C7" s="6" t="s">
        <v>8</v>
      </c>
    </row>
    <row r="9" customFormat="false" ht="15" hidden="false" customHeight="false" outlineLevel="0" collapsed="false">
      <c r="A9" s="3" t="s">
        <v>9</v>
      </c>
      <c r="B9" s="3"/>
      <c r="C9" s="3"/>
    </row>
    <row r="10" customFormat="false" ht="15" hidden="false" customHeight="false" outlineLevel="0" collapsed="false">
      <c r="A10" s="4" t="s">
        <v>10</v>
      </c>
      <c r="B10" s="9" t="n">
        <v>800</v>
      </c>
    </row>
    <row r="11" customFormat="false" ht="15" hidden="false" customHeight="false" outlineLevel="0" collapsed="false">
      <c r="A11" s="4" t="s">
        <v>11</v>
      </c>
      <c r="B11" s="9" t="n">
        <v>400</v>
      </c>
    </row>
    <row r="12" customFormat="false" ht="15" hidden="false" customHeight="false" outlineLevel="0" collapsed="false">
      <c r="A12" s="4" t="s">
        <v>12</v>
      </c>
      <c r="B12" s="10" t="s">
        <v>13</v>
      </c>
      <c r="C12" s="6" t="s">
        <v>14</v>
      </c>
    </row>
    <row r="13" customFormat="false" ht="15" hidden="false" customHeight="false" outlineLevel="0" collapsed="false">
      <c r="A13" s="4" t="s">
        <v>15</v>
      </c>
      <c r="B13" s="11" t="n">
        <v>0.15</v>
      </c>
      <c r="C13" s="6" t="s">
        <v>16</v>
      </c>
    </row>
    <row r="14" customFormat="false" ht="15" hidden="false" customHeight="false" outlineLevel="0" collapsed="false">
      <c r="A14" s="4" t="s">
        <v>17</v>
      </c>
      <c r="B14" s="11" t="n">
        <v>0.6</v>
      </c>
      <c r="C14" s="6" t="s">
        <v>16</v>
      </c>
    </row>
    <row r="16" customFormat="false" ht="15" hidden="false" customHeight="false" outlineLevel="0" collapsed="false">
      <c r="A16" s="3" t="s">
        <v>18</v>
      </c>
      <c r="B16" s="3"/>
      <c r="C16" s="3"/>
    </row>
    <row r="17" customFormat="false" ht="15" hidden="false" customHeight="false" outlineLevel="0" collapsed="false">
      <c r="A17" s="4" t="s">
        <v>19</v>
      </c>
      <c r="B17" s="9" t="n">
        <v>500</v>
      </c>
    </row>
    <row r="18" customFormat="false" ht="15" hidden="false" customHeight="false" outlineLevel="0" collapsed="false">
      <c r="A18" s="4" t="s">
        <v>20</v>
      </c>
      <c r="B18" s="8" t="n">
        <v>40</v>
      </c>
    </row>
    <row r="19" customFormat="false" ht="15" hidden="false" customHeight="false" outlineLevel="0" collapsed="false">
      <c r="A19" s="4" t="s">
        <v>21</v>
      </c>
      <c r="B19" s="7" t="n">
        <v>0.07</v>
      </c>
      <c r="C19" s="6" t="s">
        <v>22</v>
      </c>
    </row>
    <row r="20" customFormat="false" ht="15" hidden="false" customHeight="false" outlineLevel="0" collapsed="false">
      <c r="A20" s="4" t="s">
        <v>23</v>
      </c>
      <c r="B20" s="9" t="n">
        <v>1</v>
      </c>
    </row>
    <row r="22" customFormat="false" ht="15" hidden="false" customHeight="false" outlineLevel="0" collapsed="false">
      <c r="A22" s="3" t="s">
        <v>24</v>
      </c>
      <c r="B22" s="3"/>
      <c r="C22" s="3"/>
    </row>
    <row r="23" customFormat="false" ht="15" hidden="false" customHeight="false" outlineLevel="0" collapsed="false">
      <c r="A23" s="4" t="s">
        <v>25</v>
      </c>
      <c r="B23" s="8" t="n">
        <v>800</v>
      </c>
    </row>
    <row r="24" customFormat="false" ht="15" hidden="false" customHeight="false" outlineLevel="0" collapsed="false">
      <c r="A24" s="4" t="s">
        <v>26</v>
      </c>
      <c r="B24" s="8" t="n">
        <v>6000</v>
      </c>
    </row>
    <row r="25" customFormat="false" ht="15" hidden="false" customHeight="false" outlineLevel="0" collapsed="false">
      <c r="A25" s="4" t="s">
        <v>27</v>
      </c>
      <c r="B25" s="8" t="n">
        <v>500</v>
      </c>
    </row>
    <row r="26" customFormat="false" ht="15" hidden="false" customHeight="false" outlineLevel="0" collapsed="false">
      <c r="A26" s="12" t="s">
        <v>28</v>
      </c>
      <c r="B26" s="13" t="n">
        <f aca="false">SUM(B23:B25)</f>
        <v>7300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29</v>
      </c>
    </row>
    <row r="3" customFormat="false" ht="15" hidden="false" customHeight="false" outlineLevel="0" collapsed="false">
      <c r="A3" s="3" t="s">
        <v>30</v>
      </c>
      <c r="B3" s="14"/>
    </row>
    <row r="4" customFormat="false" ht="15" hidden="false" customHeight="false" outlineLevel="0" collapsed="false">
      <c r="A4" s="4" t="s">
        <v>31</v>
      </c>
      <c r="B4" s="15" t="n">
        <f aca="false">(Assumptions!B10*Assumptions!B13+Assumptions!B11*Assumptions!B14)/1000000</f>
        <v>0.00036</v>
      </c>
    </row>
    <row r="5" customFormat="false" ht="15" hidden="false" customHeight="false" outlineLevel="0" collapsed="false">
      <c r="A5" s="4" t="s">
        <v>32</v>
      </c>
      <c r="B5" s="15" t="n">
        <f aca="false">B4*Assumptions!B5</f>
        <v>0.000468</v>
      </c>
    </row>
    <row r="6" customFormat="false" ht="15" hidden="false" customHeight="false" outlineLevel="0" collapsed="false">
      <c r="A6" s="4" t="s">
        <v>33</v>
      </c>
      <c r="B6" s="16" t="n">
        <f aca="false">B5-B4</f>
        <v>0.000108</v>
      </c>
    </row>
    <row r="7" customFormat="false" ht="15" hidden="false" customHeight="false" outlineLevel="0" collapsed="false">
      <c r="A7" s="12" t="s">
        <v>34</v>
      </c>
      <c r="B7" s="17" t="n">
        <f aca="false">B6/B5</f>
        <v>0.230769230769231</v>
      </c>
    </row>
    <row r="9" customFormat="false" ht="15" hidden="false" customHeight="false" outlineLevel="0" collapsed="false">
      <c r="A9" s="3" t="s">
        <v>35</v>
      </c>
      <c r="B9" s="14"/>
      <c r="C9" s="14"/>
      <c r="D9" s="14"/>
      <c r="E9" s="14"/>
      <c r="F9" s="14"/>
      <c r="G9" s="14"/>
    </row>
    <row r="10" customFormat="false" ht="26.85" hidden="false" customHeight="false" outlineLevel="0" collapsed="false">
      <c r="A10" s="18" t="s">
        <v>36</v>
      </c>
      <c r="B10" s="18" t="s">
        <v>37</v>
      </c>
      <c r="C10" s="18" t="s">
        <v>38</v>
      </c>
      <c r="D10" s="18" t="s">
        <v>39</v>
      </c>
      <c r="E10" s="18" t="s">
        <v>40</v>
      </c>
      <c r="F10" s="18" t="s">
        <v>41</v>
      </c>
      <c r="G10" s="18" t="s">
        <v>42</v>
      </c>
      <c r="H10" s="18" t="s">
        <v>43</v>
      </c>
    </row>
    <row r="11" customFormat="false" ht="15" hidden="false" customHeight="false" outlineLevel="0" collapsed="false">
      <c r="A11" s="19" t="s">
        <v>44</v>
      </c>
      <c r="B11" s="20" t="n">
        <v>10</v>
      </c>
      <c r="C11" s="20" t="n">
        <v>10</v>
      </c>
      <c r="D11" s="21" t="n">
        <f aca="false">C11/B11-1</f>
        <v>0</v>
      </c>
      <c r="E11" s="22" t="n">
        <f aca="false">C11/Assumptions!$B$5</f>
        <v>7.69230769230769</v>
      </c>
      <c r="F11" s="22" t="n">
        <f aca="false">B11*Assumptions!$B$6+Assumptions!$B$7</f>
        <v>0.59</v>
      </c>
      <c r="G11" s="23" t="n">
        <f aca="false">B11-E11-F11</f>
        <v>1.71769230769231</v>
      </c>
      <c r="H11" s="21" t="n">
        <f aca="false">G11/B11</f>
        <v>0.171769230769231</v>
      </c>
    </row>
    <row r="12" customFormat="false" ht="15" hidden="false" customHeight="false" outlineLevel="0" collapsed="false">
      <c r="A12" s="19" t="s">
        <v>45</v>
      </c>
      <c r="B12" s="20" t="n">
        <v>50</v>
      </c>
      <c r="C12" s="20" t="n">
        <v>52.5</v>
      </c>
      <c r="D12" s="21" t="n">
        <f aca="false">C12/B12-1</f>
        <v>0.05</v>
      </c>
      <c r="E12" s="22" t="n">
        <f aca="false">C12/Assumptions!$B$5</f>
        <v>40.3846153846154</v>
      </c>
      <c r="F12" s="22" t="n">
        <f aca="false">B12*Assumptions!$B$6+Assumptions!$B$7</f>
        <v>1.75</v>
      </c>
      <c r="G12" s="23" t="n">
        <f aca="false">B12-E12-F12</f>
        <v>7.86538461538462</v>
      </c>
      <c r="H12" s="21" t="n">
        <f aca="false">G12/B12</f>
        <v>0.157307692307692</v>
      </c>
    </row>
    <row r="13" customFormat="false" ht="15" hidden="false" customHeight="false" outlineLevel="0" collapsed="false">
      <c r="A13" s="19" t="s">
        <v>46</v>
      </c>
      <c r="B13" s="20" t="n">
        <v>200</v>
      </c>
      <c r="C13" s="20" t="n">
        <v>216</v>
      </c>
      <c r="D13" s="21" t="n">
        <f aca="false">C13/B13-1</f>
        <v>0.0800000000000001</v>
      </c>
      <c r="E13" s="22" t="n">
        <f aca="false">C13/Assumptions!$B$5</f>
        <v>166.153846153846</v>
      </c>
      <c r="F13" s="22" t="n">
        <f aca="false">B13*Assumptions!$B$6+Assumptions!$B$7</f>
        <v>6.1</v>
      </c>
      <c r="G13" s="23" t="n">
        <f aca="false">B13-E13-F13</f>
        <v>27.7461538461538</v>
      </c>
      <c r="H13" s="21" t="n">
        <f aca="false">G13/B13</f>
        <v>0.138730769230769</v>
      </c>
    </row>
    <row r="14" customFormat="false" ht="15" hidden="false" customHeight="false" outlineLevel="0" collapsed="false">
      <c r="A14" s="19" t="s">
        <v>47</v>
      </c>
      <c r="B14" s="20" t="n">
        <v>1000</v>
      </c>
      <c r="C14" s="20" t="n">
        <v>1120</v>
      </c>
      <c r="D14" s="21" t="n">
        <f aca="false">C14/B14-1</f>
        <v>0.12</v>
      </c>
      <c r="E14" s="22" t="n">
        <f aca="false">C14/Assumptions!$B$5</f>
        <v>861.538461538462</v>
      </c>
      <c r="F14" s="22" t="n">
        <f aca="false">B14*Assumptions!$B$6+Assumptions!$B$7</f>
        <v>29.3</v>
      </c>
      <c r="G14" s="23" t="n">
        <f aca="false">B14-E14-F14</f>
        <v>109.161538461538</v>
      </c>
      <c r="H14" s="21" t="n">
        <f aca="false">G14/B14</f>
        <v>0.109161538461538</v>
      </c>
    </row>
    <row r="15" customFormat="false" ht="15" hidden="false" customHeight="false" outlineLevel="0" collapsed="false">
      <c r="A15" s="2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49</v>
      </c>
    </row>
    <row r="3" customFormat="false" ht="15" hidden="false" customHeight="false" outlineLevel="0" collapsed="false">
      <c r="A3" s="3" t="s">
        <v>50</v>
      </c>
      <c r="B3" s="14"/>
    </row>
    <row r="4" customFormat="false" ht="15" hidden="false" customHeight="false" outlineLevel="0" collapsed="false">
      <c r="A4" s="4" t="s">
        <v>51</v>
      </c>
      <c r="B4" s="24" t="n">
        <f aca="false">Assumptions!B17*Assumptions!B18</f>
        <v>20000</v>
      </c>
    </row>
    <row r="5" customFormat="false" ht="15" hidden="false" customHeight="false" outlineLevel="0" collapsed="false">
      <c r="A5" s="4" t="s">
        <v>52</v>
      </c>
      <c r="B5" s="24" t="n">
        <f aca="false">B4*(1+Assumptions!B19)</f>
        <v>21400</v>
      </c>
    </row>
    <row r="6" customFormat="false" ht="15" hidden="false" customHeight="false" outlineLevel="0" collapsed="false">
      <c r="A6" s="4" t="s">
        <v>53</v>
      </c>
      <c r="B6" s="24" t="n">
        <f aca="false">B5/Assumptions!B5</f>
        <v>16461.5384615385</v>
      </c>
    </row>
    <row r="7" customFormat="false" ht="15" hidden="false" customHeight="false" outlineLevel="0" collapsed="false">
      <c r="A7" s="4" t="s">
        <v>54</v>
      </c>
      <c r="B7" s="24" t="n">
        <f aca="false">B4*Assumptions!B6+Assumptions!B17*Assumptions!B20*Assumptions!B7</f>
        <v>730</v>
      </c>
    </row>
    <row r="8" customFormat="false" ht="15" hidden="false" customHeight="false" outlineLevel="0" collapsed="false">
      <c r="A8" s="12" t="s">
        <v>42</v>
      </c>
      <c r="B8" s="13" t="n">
        <f aca="false">B4-B6-B7</f>
        <v>2808.46153846154</v>
      </c>
    </row>
    <row r="9" customFormat="false" ht="15" hidden="false" customHeight="false" outlineLevel="0" collapsed="false">
      <c r="A9" s="4" t="s">
        <v>34</v>
      </c>
      <c r="B9" s="25" t="n">
        <f aca="false">B8/B4</f>
        <v>0.140423076923077</v>
      </c>
    </row>
    <row r="10" customFormat="false" ht="15" hidden="false" customHeight="false" outlineLevel="0" collapsed="false">
      <c r="A10" s="4" t="s">
        <v>55</v>
      </c>
      <c r="B10" s="24" t="n">
        <f aca="false">Assumptions!B26</f>
        <v>7300</v>
      </c>
    </row>
    <row r="11" customFormat="false" ht="15" hidden="false" customHeight="false" outlineLevel="0" collapsed="false">
      <c r="A11" s="12" t="s">
        <v>56</v>
      </c>
      <c r="B11" s="26" t="n">
        <f aca="false">B8-B10</f>
        <v>-4491.53846153846</v>
      </c>
      <c r="C11" s="6" t="s">
        <v>57</v>
      </c>
    </row>
    <row r="13" customFormat="false" ht="15" hidden="false" customHeight="false" outlineLevel="0" collapsed="false">
      <c r="A13" s="3" t="s">
        <v>58</v>
      </c>
      <c r="B13" s="14"/>
    </row>
    <row r="14" customFormat="false" ht="15" hidden="false" customHeight="false" outlineLevel="0" collapsed="false">
      <c r="A14" s="4" t="s">
        <v>59</v>
      </c>
      <c r="B14" s="27" t="n">
        <f aca="false">B8/Assumptions!B17</f>
        <v>5.61692307692308</v>
      </c>
    </row>
    <row r="15" customFormat="false" ht="15" hidden="false" customHeight="false" outlineLevel="0" collapsed="false">
      <c r="A15" s="12" t="s">
        <v>60</v>
      </c>
      <c r="B15" s="28" t="n">
        <f aca="false">Assumptions!B26/B14</f>
        <v>1299.64393316899</v>
      </c>
    </row>
    <row r="17" customFormat="false" ht="15" hidden="false" customHeight="false" outlineLevel="0" collapsed="false">
      <c r="A17" s="3" t="s">
        <v>61</v>
      </c>
      <c r="B17" s="14"/>
      <c r="C17" s="14"/>
      <c r="D17" s="14"/>
    </row>
    <row r="18" customFormat="false" ht="15" hidden="false" customHeight="false" outlineLevel="0" collapsed="false">
      <c r="A18" s="29" t="s">
        <v>62</v>
      </c>
      <c r="B18" s="29" t="s">
        <v>63</v>
      </c>
      <c r="C18" s="29" t="s">
        <v>64</v>
      </c>
      <c r="D18" s="29" t="s">
        <v>65</v>
      </c>
    </row>
    <row r="19" customFormat="false" ht="15" hidden="false" customHeight="false" outlineLevel="0" collapsed="false">
      <c r="A19" s="4" t="s">
        <v>19</v>
      </c>
      <c r="B19" s="9" t="n">
        <v>150</v>
      </c>
      <c r="C19" s="9" t="n">
        <v>500</v>
      </c>
      <c r="D19" s="9" t="n">
        <v>2500</v>
      </c>
    </row>
    <row r="20" customFormat="false" ht="15" hidden="false" customHeight="false" outlineLevel="0" collapsed="false">
      <c r="A20" s="4" t="s">
        <v>66</v>
      </c>
      <c r="B20" s="8" t="n">
        <v>25</v>
      </c>
      <c r="C20" s="8" t="n">
        <v>40</v>
      </c>
      <c r="D20" s="8" t="n">
        <v>60</v>
      </c>
    </row>
    <row r="21" customFormat="false" ht="15" hidden="false" customHeight="false" outlineLevel="0" collapsed="false">
      <c r="A21" s="4" t="s">
        <v>51</v>
      </c>
      <c r="B21" s="27" t="n">
        <f aca="false">B19*B20</f>
        <v>3750</v>
      </c>
      <c r="C21" s="27" t="n">
        <f aca="false">C19*C20</f>
        <v>20000</v>
      </c>
      <c r="D21" s="27" t="n">
        <f aca="false">D19*D20</f>
        <v>150000</v>
      </c>
    </row>
    <row r="22" customFormat="false" ht="15" hidden="false" customHeight="false" outlineLevel="0" collapsed="false">
      <c r="A22" s="4" t="s">
        <v>42</v>
      </c>
      <c r="B22" s="27" t="n">
        <f aca="false">B21-B21*(1+Assumptions!$B$19)/Assumptions!$B$5-(B21*Assumptions!$B$6+B19*Assumptions!$B$20*Assumptions!$B$7)</f>
        <v>509.711538461538</v>
      </c>
      <c r="C22" s="27" t="n">
        <f aca="false">C21-C21*(1+Assumptions!$B$19)/Assumptions!$B$5-(C21*Assumptions!$B$6+C19*Assumptions!$B$20*Assumptions!$B$7)</f>
        <v>2808.46153846154</v>
      </c>
      <c r="D22" s="27" t="n">
        <f aca="false">D21-D21*(1+Assumptions!$B$19)/Assumptions!$B$5-(D21*Assumptions!$B$6+D19*Assumptions!$B$20*Assumptions!$B$7)</f>
        <v>21438.4615384615</v>
      </c>
    </row>
    <row r="23" customFormat="false" ht="15" hidden="false" customHeight="false" outlineLevel="0" collapsed="false">
      <c r="A23" s="12" t="s">
        <v>56</v>
      </c>
      <c r="B23" s="26" t="n">
        <f aca="false">B22-Assumptions!$B$26</f>
        <v>-6790.28846153846</v>
      </c>
      <c r="C23" s="26" t="n">
        <f aca="false">C22-Assumptions!$B$26</f>
        <v>-4491.53846153846</v>
      </c>
      <c r="D23" s="26" t="n">
        <f aca="false">D22-Assumptions!$B$26</f>
        <v>14138.4615384615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2026-06-29T16:46:10Z</dcterms:created>
  <dc:creator>openpyxl</dc:creator>
  <dc:description/>
  <dc:language>en-US</dc:language>
  <cp:lastModifiedBy/>
  <dcterms:modified xsi:type="dcterms:W3CDTF">2026-06-29T16:46:10Z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